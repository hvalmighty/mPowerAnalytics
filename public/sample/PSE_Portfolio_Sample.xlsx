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ortfolio_Info" sheetId="2" state="visible" r:id="rId4"/>
    <sheet name="Holdings" sheetId="3" state="visible" r:id="rId5"/>
    <sheet name="Transactions" sheetId="4" state="visible" r:id="rId6"/>
    <sheet name="Cash_Flows" sheetId="5" state="visible" r:id="rId7"/>
    <sheet name="Benchmark_Constituents" sheetId="6" state="visible" r:id="rId8"/>
    <sheet name="Stress_Scenarios" sheetId="7" state="visible" r:id="rId9"/>
    <sheet name="Price_Overr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Date the positions are as of (end of day)</t>
        </r>
      </text>
    </comment>
    <comment ref="B1" authorId="0">
      <text>
        <r>
          <rPr>
            <sz val="10"/>
            <rFont val="Arial"/>
            <family val="2"/>
          </rPr>
          <t xml:space="preserve">PSE stock code, e.g. BDO, ICT, SM. Cash = CASH</t>
        </r>
      </text>
    </comment>
    <comment ref="C1" authorId="0">
      <text>
        <r>
          <rPr>
            <sz val="10"/>
            <rFont val="Arial"/>
            <family val="2"/>
          </rPr>
          <t xml:space="preserve">Optional</t>
        </r>
      </text>
    </comment>
    <comment ref="E1" authorId="0">
      <text>
        <r>
          <rPr>
            <sz val="10"/>
            <rFont val="Arial"/>
            <family val="2"/>
          </rPr>
          <t xml:space="preserve">PSE sector: Financials, Industrial, Holding Firms, Property, Services, Mining and Oil</t>
        </r>
      </text>
    </comment>
    <comment ref="F1" authorId="0">
      <text>
        <r>
          <rPr>
            <sz val="10"/>
            <rFont val="Arial"/>
            <family val="2"/>
          </rPr>
          <t xml:space="preserve">Optional</t>
        </r>
      </text>
    </comment>
    <comment ref="G1" authorId="0">
      <text>
        <r>
          <rPr>
            <sz val="10"/>
            <rFont val="Arial"/>
            <family val="2"/>
          </rPr>
          <t xml:space="preserve">Shares held; for CASH the PHP balance</t>
        </r>
      </text>
    </comment>
    <comment ref="H1" authorId="0">
      <text>
        <r>
          <rPr>
            <sz val="10"/>
            <rFont val="Arial"/>
            <family val="2"/>
          </rPr>
          <t xml:space="preserve">Optional: average cost per share</t>
        </r>
      </text>
    </comment>
    <comment ref="I1" authorId="0">
      <text>
        <r>
          <rPr>
            <sz val="10"/>
            <rFont val="Arial"/>
            <family val="2"/>
          </rPr>
          <t xml:space="preserve">Optional: PMS valuation price, checked against Yahoo close</t>
        </r>
      </text>
    </comment>
    <comment ref="J1" authorId="0">
      <text>
        <r>
          <rPr>
            <sz val="10"/>
            <rFont val="Arial"/>
            <family val="2"/>
          </rPr>
          <t xml:space="preserve">Optional: PMS market value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Trade date (lands on the next PSE trading day if a holiday)</t>
        </r>
      </text>
    </comment>
    <comment ref="B1" authorId="0">
      <text>
        <r>
          <rPr>
            <sz val="10"/>
            <rFont val="Arial"/>
            <family val="2"/>
          </rPr>
          <t xml:space="preserve">Stock code; CASH for fees/interest not tied to a stock</t>
        </r>
      </text>
    </comment>
    <comment ref="C1" authorId="0">
      <text>
        <r>
          <rPr>
            <sz val="10"/>
            <rFont val="Arial"/>
            <family val="2"/>
          </rPr>
          <t xml:space="preserve">BUY, SELL, DIVIDEND, FEE, INTEREST, STOCK_DIVIDEND</t>
        </r>
      </text>
    </comment>
    <comment ref="D1" authorId="0">
      <text>
        <r>
          <rPr>
            <sz val="10"/>
            <rFont val="Arial"/>
            <family val="2"/>
          </rPr>
          <t xml:space="preserve">Shares (always positive)</t>
        </r>
      </text>
    </comment>
    <comment ref="E1" authorId="0">
      <text>
        <r>
          <rPr>
            <sz val="10"/>
            <rFont val="Arial"/>
            <family val="2"/>
          </rPr>
          <t xml:space="preserve">Trade price; blank = Yahoo close that day</t>
        </r>
      </text>
    </comment>
    <comment ref="F1" authorId="0">
      <text>
        <r>
          <rPr>
            <sz val="10"/>
            <rFont val="Arial"/>
            <family val="2"/>
          </rPr>
          <t xml:space="preserve">Commission + taxes (positive)</t>
        </r>
      </text>
    </comment>
    <comment ref="G1" authorId="0">
      <text>
        <r>
          <rPr>
            <sz val="10"/>
            <rFont val="Arial"/>
            <family val="2"/>
          </rPr>
          <t xml:space="preserve">Cash amount (positive). Required for DIVIDEND/FEE/INTEREST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Value date</t>
        </r>
      </text>
    </comment>
    <comment ref="B1" authorId="0">
      <text>
        <r>
          <rPr>
            <sz val="10"/>
            <rFont val="Arial"/>
            <family val="2"/>
          </rPr>
          <t xml:space="preserve">Positive number; Type sets the sign</t>
        </r>
      </text>
    </comment>
    <comment ref="C1" authorId="0">
      <text>
        <r>
          <rPr>
            <sz val="10"/>
            <rFont val="Arial"/>
            <family val="2"/>
          </rPr>
          <t xml:space="preserve">Contribution or Withdrawal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Same labels as Holdings</t>
        </r>
      </text>
    </comment>
    <comment ref="D1" authorId="0">
      <text>
        <r>
          <rPr>
            <sz val="10"/>
            <rFont val="Arial"/>
            <family val="2"/>
          </rPr>
          <t xml:space="preserve">Index weight at Period_Start (% or decimal)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HISTORICAL or SHOCK</t>
        </r>
      </text>
    </comment>
    <comment ref="C1" authorId="0">
      <text>
        <r>
          <rPr>
            <sz val="10"/>
            <rFont val="Arial"/>
            <family val="2"/>
          </rPr>
          <t xml:space="preserve">SHOCK only: ALL, a sector, or a ticker</t>
        </r>
      </text>
    </comment>
    <comment ref="D1" authorId="0">
      <text>
        <r>
          <rPr>
            <sz val="10"/>
            <rFont val="Arial"/>
            <family val="2"/>
          </rPr>
          <t xml:space="preserve">SHOCK only, e.g. -20</t>
        </r>
      </text>
    </comment>
    <comment ref="E1" authorId="0">
      <text>
        <r>
          <rPr>
            <sz val="10"/>
            <rFont val="Arial"/>
            <family val="2"/>
          </rPr>
          <t xml:space="preserve">HISTORICAL only</t>
        </r>
      </text>
    </comment>
    <comment ref="F1" authorId="0">
      <text>
        <r>
          <rPr>
            <sz val="10"/>
            <rFont val="Arial"/>
            <family val="2"/>
          </rPr>
          <t xml:space="preserve">HISTORICAL only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PHP</t>
        </r>
      </text>
    </comment>
  </commentList>
</comments>
</file>

<file path=xl/sharedStrings.xml><?xml version="1.0" encoding="utf-8"?>
<sst xmlns="http://schemas.openxmlformats.org/spreadsheetml/2006/main" count="413" uniqueCount="218">
  <si>
    <t xml:space="preserve">PSE Portfolio Analytics — input workbook</t>
  </si>
  <si>
    <t xml:space="preserve">Upload this workbook (exported from the PMS) to the app. Prices are fetched automatically from Yahoo Finance using the PSE ticker + '.PS' (e.g. BDO -&gt; BDO.PS); the benchmark index uses PSEI.PS.</t>
  </si>
  <si>
    <t xml:space="preserve">ALL VALUES IN THIS SAMPLE ARE ILLUSTRATIVE (quantities, costs, fees, flows, benchmark weights and sector labels). Replace them with your PMS data and official PSE index weights before use.</t>
  </si>
  <si>
    <t xml:space="preserve">Sheet</t>
  </si>
  <si>
    <t xml:space="preserve">Purpose and rules</t>
  </si>
  <si>
    <t xml:space="preserve">Portfolio_Info (required)</t>
  </si>
  <si>
    <t xml:space="preserve">Key/value settings: dates, benchmark, VaR parameters. Edit column B only. Dates as real Excel dates.</t>
  </si>
  <si>
    <t xml:space="preserve">Holdings (required)</t>
  </si>
  <si>
    <t xml:space="preserve">One row per security per snapshot date. Ticker = PSE stock code (no .PS). Cash is a row with ticker CASH and Quantity = cash balance in PHP. Give a snapshot dated on Period_Start (opening positions); a later snapshot (e.g. Period_End) is optional and is used to reconcile rolled-forward positions. If only a closing snapshot is given, opening positions are derived by reversing the transactions.</t>
  </si>
  <si>
    <t xml:space="preserve">Transactions</t>
  </si>
  <si>
    <t xml:space="preserve">Trades and income inside the period (after Period_Start, up to Period_End). Type: BUY, SELL, DIVIDEND, FEE, INTEREST, STOCK_DIVIDEND. Quantity always positive. Price blank = Yahoo close on the trade date. Net_Amount required for DIVIDEND / FEE / INTEREST (positive numbers); if given for BUY/SELL it overrides Quantity x Price +/- Fees. If a stock has no DIVIDEND rows, dividends are taken from Yahoo (Auto_Dividends_From_Yahoo = YES).</t>
  </si>
  <si>
    <t xml:space="preserve">Cash_Flows</t>
  </si>
  <si>
    <t xml:space="preserve">External client money only (subscriptions/contributions and redemptions/withdrawals). Amount positive; Type decides the sign. Needed for correct time-weighted return.</t>
  </si>
  <si>
    <t xml:space="preserve">Benchmark_Constituents</t>
  </si>
  <si>
    <t xml:space="preserve">Index members, PSE sector and weight at Period_Start, for sector attribution. Sector labels must match those used in Holdings. Weights in % or decimals; they are normalised to 100%.</t>
  </si>
  <si>
    <t xml:space="preserve">Stress_Scenarios</t>
  </si>
  <si>
    <t xml:space="preserve">Optional. HISTORICAL rows replay actual returns between Start_Date and End_Date. SHOCK rows apply Shock_% to ALL, a sector name, or a single ticker.</t>
  </si>
  <si>
    <t xml:space="preserve">Price_Override</t>
  </si>
  <si>
    <t xml:space="preserve">Optional. Manual prices (suspended / illiquid / delisted names). Overrides Yahoo on that date.</t>
  </si>
  <si>
    <t xml:space="preserve">Colour code</t>
  </si>
  <si>
    <t xml:space="preserve">Dark-blue headers = required columns; mid-blue = optional. Blue text = input values. Hover a header for its definition.</t>
  </si>
  <si>
    <t xml:space="preserve">Parameter</t>
  </si>
  <si>
    <t xml:space="preserve">Value</t>
  </si>
  <si>
    <t xml:space="preserve">Description</t>
  </si>
  <si>
    <t xml:space="preserve">Portfolio_Name</t>
  </si>
  <si>
    <t xml:space="preserve">Sample PH Equity PMS</t>
  </si>
  <si>
    <t xml:space="preserve">Shown on the report</t>
  </si>
  <si>
    <t xml:space="preserve">Portfolio_ID</t>
  </si>
  <si>
    <t xml:space="preserve">PMS-PH-0001</t>
  </si>
  <si>
    <t xml:space="preserve">Portfolio_Manager</t>
  </si>
  <si>
    <t xml:space="preserve">Sample Manager</t>
  </si>
  <si>
    <t xml:space="preserve">Base_Currency</t>
  </si>
  <si>
    <t xml:space="preserve">PHP</t>
  </si>
  <si>
    <t xml:space="preserve">PSE prices are in PHP; no FX conversion in this version</t>
  </si>
  <si>
    <t xml:space="preserve">Valuation_Date</t>
  </si>
  <si>
    <t xml:space="preserve">Positions on this date are used for VaR (required)</t>
  </si>
  <si>
    <t xml:space="preserve">Period_Start</t>
  </si>
  <si>
    <t xml:space="preserve">Performance/attribution start; opening snapshot date (required)</t>
  </si>
  <si>
    <t xml:space="preserve">Period_End</t>
  </si>
  <si>
    <t xml:space="preserve">Performance/attribution end (defaults to Valuation_Date)</t>
  </si>
  <si>
    <t xml:space="preserve">Inception_Date</t>
  </si>
  <si>
    <t xml:space="preserve">Informational</t>
  </si>
  <si>
    <t xml:space="preserve">Benchmark_Name</t>
  </si>
  <si>
    <t xml:space="preserve">PSE Composite Index (PSEi)</t>
  </si>
  <si>
    <t xml:space="preserve">Benchmark_Yahoo_Symbol</t>
  </si>
  <si>
    <t xml:space="preserve">PSEI.PS</t>
  </si>
  <si>
    <t xml:space="preserve">Yahoo symbol for the benchmark index</t>
  </si>
  <si>
    <t xml:space="preserve">Benchmark_Return_Type</t>
  </si>
  <si>
    <t xml:space="preserve">PRICE</t>
  </si>
  <si>
    <t xml:space="preserve">PRICE (PSEi is a price index) or TOTAL (use dividend-adjusted constituent prices in attribution)</t>
  </si>
  <si>
    <t xml:space="preserve">VaR_Confidence_Levels</t>
  </si>
  <si>
    <t xml:space="preserve">95, 99</t>
  </si>
  <si>
    <t xml:space="preserve">Comma-separated, in %</t>
  </si>
  <si>
    <t xml:space="preserve">VaR_Horizon_Days</t>
  </si>
  <si>
    <t xml:space="preserve">1, 10</t>
  </si>
  <si>
    <t xml:space="preserve">Multi-day VaR scaled by square-root of time</t>
  </si>
  <si>
    <t xml:space="preserve">VaR_Lookback_Days</t>
  </si>
  <si>
    <t xml:space="preserve">Trading days of history for VaR (250 minimum recommended)</t>
  </si>
  <si>
    <t xml:space="preserve">Covariance_Method</t>
  </si>
  <si>
    <t xml:space="preserve">EWMA</t>
  </si>
  <si>
    <t xml:space="preserve">EWMA (RiskMetrics) or SAMPLE (equal-weighted)</t>
  </si>
  <si>
    <t xml:space="preserve">EWMA_Lambda</t>
  </si>
  <si>
    <t xml:space="preserve">Decay factor for EWMA</t>
  </si>
  <si>
    <t xml:space="preserve">MC_Simulations</t>
  </si>
  <si>
    <t xml:space="preserve">Monte Carlo paths</t>
  </si>
  <si>
    <t xml:space="preserve">Backtest_Days</t>
  </si>
  <si>
    <t xml:space="preserve">Days of VaR backtesting (Kupiec test, Basel traffic light)</t>
  </si>
  <si>
    <t xml:space="preserve">Risk_Free_Rate</t>
  </si>
  <si>
    <t xml:space="preserve">Annual rate for Sharpe/Sortino/alpha. ILLUSTRATIVE — set to the current PH T-bill yield</t>
  </si>
  <si>
    <t xml:space="preserve">Auto_Dividends_From_Yahoo</t>
  </si>
  <si>
    <t xml:space="preserve">YES</t>
  </si>
  <si>
    <t xml:space="preserve">YES = credit Yahoo cash dividends for stocks with no DIVIDEND rows in Transactions</t>
  </si>
  <si>
    <t xml:space="preserve">Attribution_Grouping</t>
  </si>
  <si>
    <t xml:space="preserve">Sector</t>
  </si>
  <si>
    <t xml:space="preserve">Attribution segments (Sector)</t>
  </si>
  <si>
    <t xml:space="preserve">Snapshot_Date</t>
  </si>
  <si>
    <t xml:space="preserve">PSE_Ticker</t>
  </si>
  <si>
    <t xml:space="preserve">ISIN</t>
  </si>
  <si>
    <t xml:space="preserve">Security_Name</t>
  </si>
  <si>
    <t xml:space="preserve">Sub_Sector</t>
  </si>
  <si>
    <t xml:space="preserve">Quantity</t>
  </si>
  <si>
    <t xml:space="preserve">Avg_Cost</t>
  </si>
  <si>
    <t xml:space="preserve">PMS_Price</t>
  </si>
  <si>
    <t xml:space="preserve">Market_Value</t>
  </si>
  <si>
    <t xml:space="preserve">BDO</t>
  </si>
  <si>
    <t xml:space="preserve">BDO Unibank, Inc.</t>
  </si>
  <si>
    <t xml:space="preserve">Financials</t>
  </si>
  <si>
    <t xml:space="preserve">Banks</t>
  </si>
  <si>
    <t xml:space="preserve">BPI</t>
  </si>
  <si>
    <t xml:space="preserve">Bank of the Philippine Islands</t>
  </si>
  <si>
    <t xml:space="preserve">MBT</t>
  </si>
  <si>
    <t xml:space="preserve">Metropolitan Bank &amp; Trust Co.</t>
  </si>
  <si>
    <t xml:space="preserve">ICT</t>
  </si>
  <si>
    <t xml:space="preserve">International Container Terminal Services, Inc.</t>
  </si>
  <si>
    <t xml:space="preserve">Services</t>
  </si>
  <si>
    <t xml:space="preserve">Transportation Services</t>
  </si>
  <si>
    <t xml:space="preserve">SM</t>
  </si>
  <si>
    <t xml:space="preserve">SM Investments Corporation</t>
  </si>
  <si>
    <t xml:space="preserve">Holding Firms</t>
  </si>
  <si>
    <t xml:space="preserve">AC</t>
  </si>
  <si>
    <t xml:space="preserve">Ayala Corporation</t>
  </si>
  <si>
    <t xml:space="preserve">JGS</t>
  </si>
  <si>
    <t xml:space="preserve">JG Summit Holdings, Inc.</t>
  </si>
  <si>
    <t xml:space="preserve">ALI</t>
  </si>
  <si>
    <t xml:space="preserve">Ayala Land, Inc.</t>
  </si>
  <si>
    <t xml:space="preserve">Property</t>
  </si>
  <si>
    <t xml:space="preserve">SMPH</t>
  </si>
  <si>
    <t xml:space="preserve">SM Prime Holdings, Inc.</t>
  </si>
  <si>
    <t xml:space="preserve">AREIT</t>
  </si>
  <si>
    <t xml:space="preserve">AREIT, Inc.</t>
  </si>
  <si>
    <t xml:space="preserve">REIT</t>
  </si>
  <si>
    <t xml:space="preserve">JFC</t>
  </si>
  <si>
    <t xml:space="preserve">Jollibee Foods Corporation</t>
  </si>
  <si>
    <t xml:space="preserve">Industrial</t>
  </si>
  <si>
    <t xml:space="preserve">Food, Beverage &amp; Tobacco</t>
  </si>
  <si>
    <t xml:space="preserve">URC</t>
  </si>
  <si>
    <t xml:space="preserve">Universal Robina Corporation</t>
  </si>
  <si>
    <t xml:space="preserve">MER</t>
  </si>
  <si>
    <t xml:space="preserve">Manila Electric Company</t>
  </si>
  <si>
    <t xml:space="preserve">Electricity, Energy, Power &amp; Water</t>
  </si>
  <si>
    <t xml:space="preserve">TEL</t>
  </si>
  <si>
    <t xml:space="preserve">PLDT Inc.</t>
  </si>
  <si>
    <t xml:space="preserve">Telecommunications</t>
  </si>
  <si>
    <t xml:space="preserve">CNVRG</t>
  </si>
  <si>
    <t xml:space="preserve">Converge Information and Communications Technology Solutions, Inc.</t>
  </si>
  <si>
    <t xml:space="preserve">SCC</t>
  </si>
  <si>
    <t xml:space="preserve">Semirara Mining and Power Corporation</t>
  </si>
  <si>
    <t xml:space="preserve">Mining and Oil</t>
  </si>
  <si>
    <t xml:space="preserve">Mining</t>
  </si>
  <si>
    <t xml:space="preserve">CASH</t>
  </si>
  <si>
    <t xml:space="preserve">Cash (PHP)</t>
  </si>
  <si>
    <t xml:space="preserve">Cash</t>
  </si>
  <si>
    <t xml:space="preserve">GLO</t>
  </si>
  <si>
    <t xml:space="preserve">Globe Telecom, Inc.</t>
  </si>
  <si>
    <t xml:space="preserve">CBC</t>
  </si>
  <si>
    <t xml:space="preserve">China Banking Corporation</t>
  </si>
  <si>
    <t xml:space="preserve">PLUS</t>
  </si>
  <si>
    <t xml:space="preserve">DigiPlus Interactive Corp.</t>
  </si>
  <si>
    <t xml:space="preserve">Casinos &amp; Gaming</t>
  </si>
  <si>
    <t xml:space="preserve">Rows dated 2025-09-30 = opening snapshot (incl. CASH). Rows dated 2026-09-30 = closing snapshot used only for reconciliation (no CASH row, so cash is not reconciled).</t>
  </si>
  <si>
    <t xml:space="preserve">Quantities and costs are illustrative. ISIN optional. Leave PMS_Price / Market_Value blank to rely on Yahoo prices; fill them to get a PMS-vs-Yahoo price check.</t>
  </si>
  <si>
    <t xml:space="preserve">Trade_Date</t>
  </si>
  <si>
    <t xml:space="preserve">Type</t>
  </si>
  <si>
    <t xml:space="preserve">Price</t>
  </si>
  <si>
    <t xml:space="preserve">Fees</t>
  </si>
  <si>
    <t xml:space="preserve">Net_Amount</t>
  </si>
  <si>
    <t xml:space="preserve">Remarks</t>
  </si>
  <si>
    <t xml:space="preserve">FEE</t>
  </si>
  <si>
    <t xml:space="preserve">Q3 management fee</t>
  </si>
  <si>
    <t xml:space="preserve">BUY</t>
  </si>
  <si>
    <t xml:space="preserve">New position</t>
  </si>
  <si>
    <t xml:space="preserve">SELL</t>
  </si>
  <si>
    <t xml:space="preserve">Trim</t>
  </si>
  <si>
    <t xml:space="preserve">Q4 management fee</t>
  </si>
  <si>
    <t xml:space="preserve">Add after contribution</t>
  </si>
  <si>
    <t xml:space="preserve">Exit</t>
  </si>
  <si>
    <t xml:space="preserve">Q1 management fee</t>
  </si>
  <si>
    <t xml:space="preserve">Reduce property</t>
  </si>
  <si>
    <t xml:space="preserve">INTEREST</t>
  </si>
  <si>
    <t xml:space="preserve">Interest on cash</t>
  </si>
  <si>
    <t xml:space="preserve">Q2 management fee</t>
  </si>
  <si>
    <t xml:space="preserve">Add</t>
  </si>
  <si>
    <t xml:space="preserve">Prices are left blank, so the app values each trade at that day's Yahoo close. Fees are illustrative.</t>
  </si>
  <si>
    <t xml:space="preserve">No DIVIDEND rows: cash dividends are credited automatically from Yahoo on ex-dates. If you add DIVIDEND rows for a stock, Yahoo dividends are not used for that stock.</t>
  </si>
  <si>
    <t xml:space="preserve">Date</t>
  </si>
  <si>
    <t xml:space="preserve">Amount</t>
  </si>
  <si>
    <t xml:space="preserve">Contribution</t>
  </si>
  <si>
    <t xml:space="preserve">Client top-up</t>
  </si>
  <si>
    <t xml:space="preserve">Withdrawal</t>
  </si>
  <si>
    <t xml:space="preserve">Client redemption</t>
  </si>
  <si>
    <t xml:space="preserve">Weight</t>
  </si>
  <si>
    <t xml:space="preserve">Notes</t>
  </si>
  <si>
    <t xml:space="preserve">SMC</t>
  </si>
  <si>
    <t xml:space="preserve">San Miguel Corporation</t>
  </si>
  <si>
    <t xml:space="preserve">ACEN</t>
  </si>
  <si>
    <t xml:space="preserve">ACEN Corporation</t>
  </si>
  <si>
    <t xml:space="preserve">AEV</t>
  </si>
  <si>
    <t xml:space="preserve">Aboitiz Equity Ventures, Inc.</t>
  </si>
  <si>
    <t xml:space="preserve">MONDE</t>
  </si>
  <si>
    <t xml:space="preserve">Monde Nissin Corporation</t>
  </si>
  <si>
    <t xml:space="preserve">GTCAP</t>
  </si>
  <si>
    <t xml:space="preserve">GT Capital Holdings, Inc.</t>
  </si>
  <si>
    <t xml:space="preserve">CNPF</t>
  </si>
  <si>
    <t xml:space="preserve">Century Pacific Food, Inc.</t>
  </si>
  <si>
    <t xml:space="preserve">DMC</t>
  </si>
  <si>
    <t xml:space="preserve">DMCI Holdings, Inc.</t>
  </si>
  <si>
    <t xml:space="preserve">EMI</t>
  </si>
  <si>
    <t xml:space="preserve">Emperador Inc.</t>
  </si>
  <si>
    <t xml:space="preserve">LTG</t>
  </si>
  <si>
    <t xml:space="preserve">LT Group, Inc.</t>
  </si>
  <si>
    <t xml:space="preserve">PGOLD</t>
  </si>
  <si>
    <t xml:space="preserve">Puregold Price Club, Inc.</t>
  </si>
  <si>
    <t xml:space="preserve">AGI</t>
  </si>
  <si>
    <t xml:space="preserve">Alliance Global Group, Inc.</t>
  </si>
  <si>
    <t xml:space="preserve">Left PSEi 2 Feb 2026 (replaced by RCR)</t>
  </si>
  <si>
    <t xml:space="preserve">Converge ICT Solutions, Inc.</t>
  </si>
  <si>
    <t xml:space="preserve">Left PSEi 3 Aug 2026 (replaced by MYNLD)</t>
  </si>
  <si>
    <t xml:space="preserve">Total</t>
  </si>
  <si>
    <t xml:space="preserve">PSEi membership as of the 30 Sep 2025 period start. WEIGHTS ARE ILLUSTRATIVE PLACEHOLDERS: replace with official free-float weights from PSE index factsheets / PSE EDGE.</t>
  </si>
  <si>
    <t xml:space="preserve">Sector labels are a best-effort mapping to PSE sectors; use your PMS/PSE classification. Mid-period index changes (RCR in Feb 2026, MYNLD in Aug 2026) are not replayed: the benchmark is held buy-and-hold from these weights.</t>
  </si>
  <si>
    <t xml:space="preserve">Scenario</t>
  </si>
  <si>
    <t xml:space="preserve">Target</t>
  </si>
  <si>
    <t xml:space="preserve">Shock_%</t>
  </si>
  <si>
    <t xml:space="preserve">Start_Date</t>
  </si>
  <si>
    <t xml:space="preserve">End_Date</t>
  </si>
  <si>
    <t xml:space="preserve">COVID-19 crash</t>
  </si>
  <si>
    <t xml:space="preserve">HISTORICAL</t>
  </si>
  <si>
    <t xml:space="preserve">Global financial crisis</t>
  </si>
  <si>
    <t xml:space="preserve">2022 rate-hike sell-off</t>
  </si>
  <si>
    <t xml:space="preserve">Broad market -20%</t>
  </si>
  <si>
    <t xml:space="preserve">SHOCK</t>
  </si>
  <si>
    <t xml:space="preserve">ALL</t>
  </si>
  <si>
    <t xml:space="preserve">Banks -15%</t>
  </si>
  <si>
    <t xml:space="preserve">Property -25%</t>
  </si>
  <si>
    <t xml:space="preserve">ICT -30% (single name)</t>
  </si>
  <si>
    <t xml:space="preserve">Historical windows are examples; stocks not listed at the time are proxied with the index move.</t>
  </si>
  <si>
    <t xml:space="preserve">Reason</t>
  </si>
  <si>
    <t xml:space="preserve">Optional. Example: 2026-07-16 | RRHI | &lt;last traded price&gt; | Trading suspended after tender offer. Leave empty if not needed.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</si>
</sst>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0%"/>
    <numFmt numFmtId="167" formatCode="#,##0"/>
    <numFmt numFmtId="168" formatCode="#,##0.00"/>
    <numFmt numFmtId="169" formatCode="0.00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366B"/>
        <bgColor rgb="FF333399"/>
      </patternFill>
    </fill>
    <fill>
      <patternFill patternType="solid">
        <fgColor rgb="FF1C5CAB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C5CAB"/>
      <rgbColor rgb="FFE2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66B"/>
      <rgbColor rgb="FF339966"/>
      <rgbColor rgb="FF003300"/>
      <rgbColor rgb="FF333300"/>
      <rgbColor rgb="FFC0392B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35.05" hidden="false" customHeight="false" outlineLevel="0" collapsed="false">
      <c r="A7" s="6" t="s">
        <v>7</v>
      </c>
      <c r="B7" s="7" t="s">
        <v>8</v>
      </c>
    </row>
    <row r="8" customFormat="false" ht="46.25" hidden="false" customHeight="false" outlineLevel="0" collapsed="false">
      <c r="A8" s="6" t="s">
        <v>9</v>
      </c>
      <c r="B8" s="7" t="s">
        <v>10</v>
      </c>
    </row>
    <row r="9" customFormat="false" ht="23.85" hidden="false" customHeight="false" outlineLevel="0" collapsed="false">
      <c r="A9" s="6" t="s">
        <v>11</v>
      </c>
      <c r="B9" s="7" t="s">
        <v>12</v>
      </c>
    </row>
    <row r="10" customFormat="false" ht="23.85" hidden="false" customHeight="false" outlineLevel="0" collapsed="false">
      <c r="A10" s="6" t="s">
        <v>13</v>
      </c>
      <c r="B10" s="7" t="s">
        <v>14</v>
      </c>
    </row>
    <row r="11" customFormat="false" ht="23.85" hidden="false" customHeight="false" outlineLevel="0" collapsed="false">
      <c r="A11" s="6" t="s">
        <v>15</v>
      </c>
      <c r="B11" s="7" t="s">
        <v>16</v>
      </c>
    </row>
    <row r="12" customFormat="false" ht="15" hidden="false" customHeight="false" outlineLevel="0" collapsed="false">
      <c r="A12" s="6" t="s">
        <v>17</v>
      </c>
      <c r="B12" s="7" t="s">
        <v>18</v>
      </c>
    </row>
    <row r="13" customFormat="false" ht="15" hidden="false" customHeight="false" outlineLevel="0" collapsed="false">
      <c r="A13" s="6" t="s">
        <v>19</v>
      </c>
      <c r="B13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90"/>
  </cols>
  <sheetData>
    <row r="1" customFormat="false" ht="30" hidden="false" customHeight="true" outlineLevel="0" collapsed="false">
      <c r="A1" s="8" t="s">
        <v>21</v>
      </c>
      <c r="B1" s="8" t="s">
        <v>22</v>
      </c>
      <c r="C1" s="9" t="s">
        <v>23</v>
      </c>
    </row>
    <row r="2" customFormat="false" ht="15" hidden="false" customHeight="false" outlineLevel="0" collapsed="false">
      <c r="A2" s="10" t="s">
        <v>24</v>
      </c>
      <c r="B2" s="11" t="s">
        <v>25</v>
      </c>
      <c r="C2" s="12" t="s">
        <v>26</v>
      </c>
    </row>
    <row r="3" customFormat="false" ht="15" hidden="false" customHeight="false" outlineLevel="0" collapsed="false">
      <c r="A3" s="10" t="s">
        <v>27</v>
      </c>
      <c r="B3" s="11" t="s">
        <v>28</v>
      </c>
      <c r="C3" s="12"/>
    </row>
    <row r="4" customFormat="false" ht="15" hidden="false" customHeight="false" outlineLevel="0" collapsed="false">
      <c r="A4" s="10" t="s">
        <v>29</v>
      </c>
      <c r="B4" s="11" t="s">
        <v>30</v>
      </c>
      <c r="C4" s="12"/>
    </row>
    <row r="5" customFormat="false" ht="15" hidden="false" customHeight="false" outlineLevel="0" collapsed="false">
      <c r="A5" s="10" t="s">
        <v>31</v>
      </c>
      <c r="B5" s="11" t="s">
        <v>32</v>
      </c>
      <c r="C5" s="12" t="s">
        <v>33</v>
      </c>
    </row>
    <row r="6" customFormat="false" ht="15" hidden="false" customHeight="false" outlineLevel="0" collapsed="false">
      <c r="A6" s="10" t="s">
        <v>34</v>
      </c>
      <c r="B6" s="13" t="n">
        <v>46295</v>
      </c>
      <c r="C6" s="12" t="s">
        <v>35</v>
      </c>
    </row>
    <row r="7" customFormat="false" ht="15" hidden="false" customHeight="false" outlineLevel="0" collapsed="false">
      <c r="A7" s="10" t="s">
        <v>36</v>
      </c>
      <c r="B7" s="13" t="n">
        <v>45930</v>
      </c>
      <c r="C7" s="12" t="s">
        <v>37</v>
      </c>
    </row>
    <row r="8" customFormat="false" ht="15" hidden="false" customHeight="false" outlineLevel="0" collapsed="false">
      <c r="A8" s="10" t="s">
        <v>38</v>
      </c>
      <c r="B8" s="13" t="n">
        <v>46295</v>
      </c>
      <c r="C8" s="12" t="s">
        <v>39</v>
      </c>
    </row>
    <row r="9" customFormat="false" ht="15" hidden="false" customHeight="false" outlineLevel="0" collapsed="false">
      <c r="A9" s="10" t="s">
        <v>40</v>
      </c>
      <c r="B9" s="13" t="n">
        <v>44928</v>
      </c>
      <c r="C9" s="12" t="s">
        <v>41</v>
      </c>
    </row>
    <row r="10" customFormat="false" ht="15" hidden="false" customHeight="false" outlineLevel="0" collapsed="false">
      <c r="A10" s="10" t="s">
        <v>42</v>
      </c>
      <c r="B10" s="11" t="s">
        <v>43</v>
      </c>
      <c r="C10" s="12"/>
    </row>
    <row r="11" customFormat="false" ht="15" hidden="false" customHeight="false" outlineLevel="0" collapsed="false">
      <c r="A11" s="10" t="s">
        <v>44</v>
      </c>
      <c r="B11" s="11" t="s">
        <v>45</v>
      </c>
      <c r="C11" s="12" t="s">
        <v>46</v>
      </c>
    </row>
    <row r="12" customFormat="false" ht="15" hidden="false" customHeight="false" outlineLevel="0" collapsed="false">
      <c r="A12" s="10" t="s">
        <v>47</v>
      </c>
      <c r="B12" s="11" t="s">
        <v>48</v>
      </c>
      <c r="C12" s="12" t="s">
        <v>49</v>
      </c>
    </row>
    <row r="13" customFormat="false" ht="15" hidden="false" customHeight="false" outlineLevel="0" collapsed="false">
      <c r="A13" s="10" t="s">
        <v>50</v>
      </c>
      <c r="B13" s="11" t="s">
        <v>51</v>
      </c>
      <c r="C13" s="12" t="s">
        <v>52</v>
      </c>
    </row>
    <row r="14" customFormat="false" ht="15" hidden="false" customHeight="false" outlineLevel="0" collapsed="false">
      <c r="A14" s="10" t="s">
        <v>53</v>
      </c>
      <c r="B14" s="11" t="s">
        <v>54</v>
      </c>
      <c r="C14" s="12" t="s">
        <v>55</v>
      </c>
    </row>
    <row r="15" customFormat="false" ht="15" hidden="false" customHeight="false" outlineLevel="0" collapsed="false">
      <c r="A15" s="10" t="s">
        <v>56</v>
      </c>
      <c r="B15" s="11" t="n">
        <v>500</v>
      </c>
      <c r="C15" s="12" t="s">
        <v>57</v>
      </c>
    </row>
    <row r="16" customFormat="false" ht="15" hidden="false" customHeight="false" outlineLevel="0" collapsed="false">
      <c r="A16" s="10" t="s">
        <v>58</v>
      </c>
      <c r="B16" s="11" t="s">
        <v>59</v>
      </c>
      <c r="C16" s="12" t="s">
        <v>60</v>
      </c>
    </row>
    <row r="17" customFormat="false" ht="15" hidden="false" customHeight="false" outlineLevel="0" collapsed="false">
      <c r="A17" s="10" t="s">
        <v>61</v>
      </c>
      <c r="B17" s="11" t="n">
        <v>0.94</v>
      </c>
      <c r="C17" s="12" t="s">
        <v>62</v>
      </c>
    </row>
    <row r="18" customFormat="false" ht="15" hidden="false" customHeight="false" outlineLevel="0" collapsed="false">
      <c r="A18" s="10" t="s">
        <v>63</v>
      </c>
      <c r="B18" s="11" t="n">
        <v>10000</v>
      </c>
      <c r="C18" s="12" t="s">
        <v>64</v>
      </c>
    </row>
    <row r="19" customFormat="false" ht="15" hidden="false" customHeight="false" outlineLevel="0" collapsed="false">
      <c r="A19" s="10" t="s">
        <v>65</v>
      </c>
      <c r="B19" s="11" t="n">
        <v>250</v>
      </c>
      <c r="C19" s="12" t="s">
        <v>66</v>
      </c>
    </row>
    <row r="20" customFormat="false" ht="15" hidden="false" customHeight="false" outlineLevel="0" collapsed="false">
      <c r="A20" s="10" t="s">
        <v>67</v>
      </c>
      <c r="B20" s="14" t="n">
        <v>0.055</v>
      </c>
      <c r="C20" s="12" t="s">
        <v>68</v>
      </c>
    </row>
    <row r="21" customFormat="false" ht="15" hidden="false" customHeight="false" outlineLevel="0" collapsed="false">
      <c r="A21" s="10" t="s">
        <v>69</v>
      </c>
      <c r="B21" s="11" t="s">
        <v>70</v>
      </c>
      <c r="C21" s="12" t="s">
        <v>71</v>
      </c>
    </row>
    <row r="22" customFormat="false" ht="15" hidden="false" customHeight="false" outlineLevel="0" collapsed="false">
      <c r="A22" s="10" t="s">
        <v>72</v>
      </c>
      <c r="B22" s="11" t="s">
        <v>73</v>
      </c>
      <c r="C22" s="1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8" t="s">
        <v>75</v>
      </c>
      <c r="B1" s="8" t="s">
        <v>76</v>
      </c>
      <c r="C1" s="9" t="s">
        <v>77</v>
      </c>
      <c r="D1" s="9" t="s">
        <v>78</v>
      </c>
      <c r="E1" s="8" t="s">
        <v>73</v>
      </c>
      <c r="F1" s="9" t="s">
        <v>79</v>
      </c>
      <c r="G1" s="8" t="s">
        <v>80</v>
      </c>
      <c r="H1" s="9" t="s">
        <v>81</v>
      </c>
      <c r="I1" s="9" t="s">
        <v>82</v>
      </c>
      <c r="J1" s="9" t="s">
        <v>83</v>
      </c>
    </row>
    <row r="2" customFormat="false" ht="15" hidden="false" customHeight="false" outlineLevel="0" collapsed="false">
      <c r="A2" s="13" t="n">
        <v>45930</v>
      </c>
      <c r="B2" s="11" t="s">
        <v>84</v>
      </c>
      <c r="C2" s="11"/>
      <c r="D2" s="11" t="s">
        <v>85</v>
      </c>
      <c r="E2" s="11" t="s">
        <v>86</v>
      </c>
      <c r="F2" s="11" t="s">
        <v>87</v>
      </c>
      <c r="G2" s="15" t="n">
        <v>60000</v>
      </c>
      <c r="H2" s="16" t="n">
        <v>128.4</v>
      </c>
      <c r="I2" s="16"/>
      <c r="J2" s="15"/>
    </row>
    <row r="3" customFormat="false" ht="15" hidden="false" customHeight="false" outlineLevel="0" collapsed="false">
      <c r="A3" s="13" t="n">
        <v>45930</v>
      </c>
      <c r="B3" s="11" t="s">
        <v>88</v>
      </c>
      <c r="C3" s="11"/>
      <c r="D3" s="11" t="s">
        <v>89</v>
      </c>
      <c r="E3" s="11" t="s">
        <v>86</v>
      </c>
      <c r="F3" s="11" t="s">
        <v>87</v>
      </c>
      <c r="G3" s="15" t="n">
        <v>50000</v>
      </c>
      <c r="H3" s="16" t="n">
        <v>112.1</v>
      </c>
      <c r="I3" s="16"/>
      <c r="J3" s="15"/>
    </row>
    <row r="4" customFormat="false" ht="15" hidden="false" customHeight="false" outlineLevel="0" collapsed="false">
      <c r="A4" s="13" t="n">
        <v>45930</v>
      </c>
      <c r="B4" s="11" t="s">
        <v>90</v>
      </c>
      <c r="C4" s="11"/>
      <c r="D4" s="11" t="s">
        <v>91</v>
      </c>
      <c r="E4" s="11" t="s">
        <v>86</v>
      </c>
      <c r="F4" s="11" t="s">
        <v>87</v>
      </c>
      <c r="G4" s="15" t="n">
        <v>80000</v>
      </c>
      <c r="H4" s="16" t="n">
        <v>64.25</v>
      </c>
      <c r="I4" s="16"/>
      <c r="J4" s="15"/>
    </row>
    <row r="5" customFormat="false" ht="15" hidden="false" customHeight="false" outlineLevel="0" collapsed="false">
      <c r="A5" s="13" t="n">
        <v>45930</v>
      </c>
      <c r="B5" s="11" t="s">
        <v>92</v>
      </c>
      <c r="C5" s="11"/>
      <c r="D5" s="11" t="s">
        <v>93</v>
      </c>
      <c r="E5" s="11" t="s">
        <v>94</v>
      </c>
      <c r="F5" s="11" t="s">
        <v>95</v>
      </c>
      <c r="G5" s="15" t="n">
        <v>20000</v>
      </c>
      <c r="H5" s="16" t="n">
        <v>385</v>
      </c>
      <c r="I5" s="16"/>
      <c r="J5" s="15"/>
    </row>
    <row r="6" customFormat="false" ht="15" hidden="false" customHeight="false" outlineLevel="0" collapsed="false">
      <c r="A6" s="13" t="n">
        <v>45930</v>
      </c>
      <c r="B6" s="11" t="s">
        <v>96</v>
      </c>
      <c r="C6" s="11"/>
      <c r="D6" s="11" t="s">
        <v>97</v>
      </c>
      <c r="E6" s="11" t="s">
        <v>98</v>
      </c>
      <c r="F6" s="11" t="s">
        <v>98</v>
      </c>
      <c r="G6" s="15" t="n">
        <v>6000</v>
      </c>
      <c r="H6" s="16" t="n">
        <v>845.5</v>
      </c>
      <c r="I6" s="16"/>
      <c r="J6" s="15"/>
    </row>
    <row r="7" customFormat="false" ht="15" hidden="false" customHeight="false" outlineLevel="0" collapsed="false">
      <c r="A7" s="13" t="n">
        <v>45930</v>
      </c>
      <c r="B7" s="11" t="s">
        <v>99</v>
      </c>
      <c r="C7" s="11"/>
      <c r="D7" s="11" t="s">
        <v>100</v>
      </c>
      <c r="E7" s="11" t="s">
        <v>98</v>
      </c>
      <c r="F7" s="11" t="s">
        <v>98</v>
      </c>
      <c r="G7" s="15" t="n">
        <v>7000</v>
      </c>
      <c r="H7" s="16" t="n">
        <v>610</v>
      </c>
      <c r="I7" s="16"/>
      <c r="J7" s="15"/>
    </row>
    <row r="8" customFormat="false" ht="15" hidden="false" customHeight="false" outlineLevel="0" collapsed="false">
      <c r="A8" s="13" t="n">
        <v>45930</v>
      </c>
      <c r="B8" s="11" t="s">
        <v>101</v>
      </c>
      <c r="C8" s="11"/>
      <c r="D8" s="11" t="s">
        <v>102</v>
      </c>
      <c r="E8" s="11" t="s">
        <v>98</v>
      </c>
      <c r="F8" s="11" t="s">
        <v>98</v>
      </c>
      <c r="G8" s="15" t="n">
        <v>100000</v>
      </c>
      <c r="H8" s="16" t="n">
        <v>27.8</v>
      </c>
      <c r="I8" s="16"/>
      <c r="J8" s="15"/>
    </row>
    <row r="9" customFormat="false" ht="15" hidden="false" customHeight="false" outlineLevel="0" collapsed="false">
      <c r="A9" s="13" t="n">
        <v>45930</v>
      </c>
      <c r="B9" s="11" t="s">
        <v>103</v>
      </c>
      <c r="C9" s="11"/>
      <c r="D9" s="11" t="s">
        <v>104</v>
      </c>
      <c r="E9" s="11" t="s">
        <v>105</v>
      </c>
      <c r="F9" s="11" t="s">
        <v>105</v>
      </c>
      <c r="G9" s="15" t="n">
        <v>250000</v>
      </c>
      <c r="H9" s="16" t="n">
        <v>28.9</v>
      </c>
      <c r="I9" s="16"/>
      <c r="J9" s="15"/>
    </row>
    <row r="10" customFormat="false" ht="15" hidden="false" customHeight="false" outlineLevel="0" collapsed="false">
      <c r="A10" s="13" t="n">
        <v>45930</v>
      </c>
      <c r="B10" s="11" t="s">
        <v>106</v>
      </c>
      <c r="C10" s="11"/>
      <c r="D10" s="11" t="s">
        <v>107</v>
      </c>
      <c r="E10" s="11" t="s">
        <v>105</v>
      </c>
      <c r="F10" s="11" t="s">
        <v>105</v>
      </c>
      <c r="G10" s="15" t="n">
        <v>300000</v>
      </c>
      <c r="H10" s="16" t="n">
        <v>24.6</v>
      </c>
      <c r="I10" s="16"/>
      <c r="J10" s="15"/>
    </row>
    <row r="11" customFormat="false" ht="15" hidden="false" customHeight="false" outlineLevel="0" collapsed="false">
      <c r="A11" s="13" t="n">
        <v>45930</v>
      </c>
      <c r="B11" s="11" t="s">
        <v>108</v>
      </c>
      <c r="C11" s="11"/>
      <c r="D11" s="11" t="s">
        <v>109</v>
      </c>
      <c r="E11" s="11" t="s">
        <v>105</v>
      </c>
      <c r="F11" s="11" t="s">
        <v>110</v>
      </c>
      <c r="G11" s="15" t="n">
        <v>120000</v>
      </c>
      <c r="H11" s="16" t="n">
        <v>35.2</v>
      </c>
      <c r="I11" s="16"/>
      <c r="J11" s="15"/>
    </row>
    <row r="12" customFormat="false" ht="15" hidden="false" customHeight="false" outlineLevel="0" collapsed="false">
      <c r="A12" s="13" t="n">
        <v>45930</v>
      </c>
      <c r="B12" s="11" t="s">
        <v>111</v>
      </c>
      <c r="C12" s="11"/>
      <c r="D12" s="11" t="s">
        <v>112</v>
      </c>
      <c r="E12" s="11" t="s">
        <v>113</v>
      </c>
      <c r="F12" s="11" t="s">
        <v>114</v>
      </c>
      <c r="G12" s="15" t="n">
        <v>20000</v>
      </c>
      <c r="H12" s="16" t="n">
        <v>215</v>
      </c>
      <c r="I12" s="16"/>
      <c r="J12" s="15"/>
    </row>
    <row r="13" customFormat="false" ht="15" hidden="false" customHeight="false" outlineLevel="0" collapsed="false">
      <c r="A13" s="13" t="n">
        <v>45930</v>
      </c>
      <c r="B13" s="11" t="s">
        <v>115</v>
      </c>
      <c r="C13" s="11"/>
      <c r="D13" s="11" t="s">
        <v>116</v>
      </c>
      <c r="E13" s="11" t="s">
        <v>113</v>
      </c>
      <c r="F13" s="11" t="s">
        <v>114</v>
      </c>
      <c r="G13" s="15" t="n">
        <v>40000</v>
      </c>
      <c r="H13" s="16" t="n">
        <v>92.4</v>
      </c>
      <c r="I13" s="16"/>
      <c r="J13" s="15"/>
    </row>
    <row r="14" customFormat="false" ht="15" hidden="false" customHeight="false" outlineLevel="0" collapsed="false">
      <c r="A14" s="13" t="n">
        <v>45930</v>
      </c>
      <c r="B14" s="11" t="s">
        <v>117</v>
      </c>
      <c r="C14" s="11"/>
      <c r="D14" s="11" t="s">
        <v>118</v>
      </c>
      <c r="E14" s="11" t="s">
        <v>113</v>
      </c>
      <c r="F14" s="11" t="s">
        <v>119</v>
      </c>
      <c r="G14" s="15" t="n">
        <v>8000</v>
      </c>
      <c r="H14" s="16" t="n">
        <v>505</v>
      </c>
      <c r="I14" s="16"/>
      <c r="J14" s="15"/>
    </row>
    <row r="15" customFormat="false" ht="15" hidden="false" customHeight="false" outlineLevel="0" collapsed="false">
      <c r="A15" s="13" t="n">
        <v>45930</v>
      </c>
      <c r="B15" s="11" t="s">
        <v>120</v>
      </c>
      <c r="C15" s="11"/>
      <c r="D15" s="11" t="s">
        <v>121</v>
      </c>
      <c r="E15" s="11" t="s">
        <v>94</v>
      </c>
      <c r="F15" s="11" t="s">
        <v>122</v>
      </c>
      <c r="G15" s="15" t="n">
        <v>2500</v>
      </c>
      <c r="H15" s="16" t="n">
        <v>1325</v>
      </c>
      <c r="I15" s="16"/>
      <c r="J15" s="15"/>
    </row>
    <row r="16" customFormat="false" ht="15" hidden="false" customHeight="false" outlineLevel="0" collapsed="false">
      <c r="A16" s="13" t="n">
        <v>45930</v>
      </c>
      <c r="B16" s="11" t="s">
        <v>123</v>
      </c>
      <c r="C16" s="11"/>
      <c r="D16" s="11" t="s">
        <v>124</v>
      </c>
      <c r="E16" s="11" t="s">
        <v>94</v>
      </c>
      <c r="F16" s="11" t="s">
        <v>122</v>
      </c>
      <c r="G16" s="15" t="n">
        <v>300000</v>
      </c>
      <c r="H16" s="16" t="n">
        <v>14.1</v>
      </c>
      <c r="I16" s="16"/>
      <c r="J16" s="15"/>
    </row>
    <row r="17" customFormat="false" ht="15" hidden="false" customHeight="false" outlineLevel="0" collapsed="false">
      <c r="A17" s="13" t="n">
        <v>45930</v>
      </c>
      <c r="B17" s="11" t="s">
        <v>125</v>
      </c>
      <c r="C17" s="11"/>
      <c r="D17" s="11" t="s">
        <v>126</v>
      </c>
      <c r="E17" s="11" t="s">
        <v>127</v>
      </c>
      <c r="F17" s="11" t="s">
        <v>128</v>
      </c>
      <c r="G17" s="15" t="n">
        <v>60000</v>
      </c>
      <c r="H17" s="16" t="n">
        <v>31.5</v>
      </c>
      <c r="I17" s="16"/>
      <c r="J17" s="15"/>
    </row>
    <row r="18" customFormat="false" ht="15" hidden="false" customHeight="false" outlineLevel="0" collapsed="false">
      <c r="A18" s="13" t="n">
        <v>45930</v>
      </c>
      <c r="B18" s="11" t="s">
        <v>129</v>
      </c>
      <c r="C18" s="11"/>
      <c r="D18" s="11" t="s">
        <v>130</v>
      </c>
      <c r="E18" s="11" t="s">
        <v>131</v>
      </c>
      <c r="F18" s="11"/>
      <c r="G18" s="15" t="n">
        <v>4000000</v>
      </c>
      <c r="H18" s="16"/>
      <c r="I18" s="16"/>
      <c r="J18" s="15"/>
    </row>
    <row r="19" customFormat="false" ht="15" hidden="false" customHeight="false" outlineLevel="0" collapsed="false">
      <c r="A19" s="13" t="n">
        <v>46295</v>
      </c>
      <c r="B19" s="11" t="s">
        <v>84</v>
      </c>
      <c r="C19" s="11"/>
      <c r="D19" s="11" t="s">
        <v>85</v>
      </c>
      <c r="E19" s="11" t="s">
        <v>86</v>
      </c>
      <c r="F19" s="11" t="s">
        <v>87</v>
      </c>
      <c r="G19" s="15" t="n">
        <v>75000</v>
      </c>
      <c r="H19" s="16"/>
      <c r="I19" s="16"/>
      <c r="J19" s="15"/>
    </row>
    <row r="20" customFormat="false" ht="15" hidden="false" customHeight="false" outlineLevel="0" collapsed="false">
      <c r="A20" s="13" t="n">
        <v>46295</v>
      </c>
      <c r="B20" s="11" t="s">
        <v>88</v>
      </c>
      <c r="C20" s="11"/>
      <c r="D20" s="11" t="s">
        <v>89</v>
      </c>
      <c r="E20" s="11" t="s">
        <v>86</v>
      </c>
      <c r="F20" s="11" t="s">
        <v>87</v>
      </c>
      <c r="G20" s="15" t="n">
        <v>50000</v>
      </c>
      <c r="H20" s="16"/>
      <c r="I20" s="16"/>
      <c r="J20" s="15"/>
    </row>
    <row r="21" customFormat="false" ht="15" hidden="false" customHeight="false" outlineLevel="0" collapsed="false">
      <c r="A21" s="13" t="n">
        <v>46295</v>
      </c>
      <c r="B21" s="11" t="s">
        <v>90</v>
      </c>
      <c r="C21" s="11"/>
      <c r="D21" s="11" t="s">
        <v>91</v>
      </c>
      <c r="E21" s="11" t="s">
        <v>86</v>
      </c>
      <c r="F21" s="11" t="s">
        <v>87</v>
      </c>
      <c r="G21" s="15" t="n">
        <v>80000</v>
      </c>
      <c r="H21" s="16"/>
      <c r="I21" s="16"/>
      <c r="J21" s="15"/>
    </row>
    <row r="22" customFormat="false" ht="15" hidden="false" customHeight="false" outlineLevel="0" collapsed="false">
      <c r="A22" s="13" t="n">
        <v>46295</v>
      </c>
      <c r="B22" s="11" t="s">
        <v>92</v>
      </c>
      <c r="C22" s="11"/>
      <c r="D22" s="11" t="s">
        <v>93</v>
      </c>
      <c r="E22" s="11" t="s">
        <v>94</v>
      </c>
      <c r="F22" s="11" t="s">
        <v>95</v>
      </c>
      <c r="G22" s="15" t="n">
        <v>23000</v>
      </c>
      <c r="H22" s="16"/>
      <c r="I22" s="16"/>
      <c r="J22" s="15"/>
    </row>
    <row r="23" customFormat="false" ht="15" hidden="false" customHeight="false" outlineLevel="0" collapsed="false">
      <c r="A23" s="13" t="n">
        <v>46295</v>
      </c>
      <c r="B23" s="11" t="s">
        <v>96</v>
      </c>
      <c r="C23" s="11"/>
      <c r="D23" s="11" t="s">
        <v>97</v>
      </c>
      <c r="E23" s="11" t="s">
        <v>98</v>
      </c>
      <c r="F23" s="11" t="s">
        <v>98</v>
      </c>
      <c r="G23" s="15" t="n">
        <v>6000</v>
      </c>
      <c r="H23" s="16"/>
      <c r="I23" s="16"/>
      <c r="J23" s="15"/>
    </row>
    <row r="24" customFormat="false" ht="15" hidden="false" customHeight="false" outlineLevel="0" collapsed="false">
      <c r="A24" s="13" t="n">
        <v>46295</v>
      </c>
      <c r="B24" s="11" t="s">
        <v>99</v>
      </c>
      <c r="C24" s="11"/>
      <c r="D24" s="11" t="s">
        <v>100</v>
      </c>
      <c r="E24" s="11" t="s">
        <v>98</v>
      </c>
      <c r="F24" s="11" t="s">
        <v>98</v>
      </c>
      <c r="G24" s="15" t="n">
        <v>7000</v>
      </c>
      <c r="H24" s="16"/>
      <c r="I24" s="16"/>
      <c r="J24" s="15"/>
    </row>
    <row r="25" customFormat="false" ht="15" hidden="false" customHeight="false" outlineLevel="0" collapsed="false">
      <c r="A25" s="13" t="n">
        <v>46295</v>
      </c>
      <c r="B25" s="11" t="s">
        <v>103</v>
      </c>
      <c r="C25" s="11"/>
      <c r="D25" s="11" t="s">
        <v>104</v>
      </c>
      <c r="E25" s="11" t="s">
        <v>105</v>
      </c>
      <c r="F25" s="11" t="s">
        <v>105</v>
      </c>
      <c r="G25" s="15" t="n">
        <v>150000</v>
      </c>
      <c r="H25" s="16"/>
      <c r="I25" s="16"/>
      <c r="J25" s="15"/>
    </row>
    <row r="26" customFormat="false" ht="15" hidden="false" customHeight="false" outlineLevel="0" collapsed="false">
      <c r="A26" s="13" t="n">
        <v>46295</v>
      </c>
      <c r="B26" s="11" t="s">
        <v>106</v>
      </c>
      <c r="C26" s="11"/>
      <c r="D26" s="11" t="s">
        <v>107</v>
      </c>
      <c r="E26" s="11" t="s">
        <v>105</v>
      </c>
      <c r="F26" s="11" t="s">
        <v>105</v>
      </c>
      <c r="G26" s="15" t="n">
        <v>300000</v>
      </c>
      <c r="H26" s="16"/>
      <c r="I26" s="16"/>
      <c r="J26" s="15"/>
    </row>
    <row r="27" customFormat="false" ht="15" hidden="false" customHeight="false" outlineLevel="0" collapsed="false">
      <c r="A27" s="13" t="n">
        <v>46295</v>
      </c>
      <c r="B27" s="11" t="s">
        <v>108</v>
      </c>
      <c r="C27" s="11"/>
      <c r="D27" s="11" t="s">
        <v>109</v>
      </c>
      <c r="E27" s="11" t="s">
        <v>105</v>
      </c>
      <c r="F27" s="11" t="s">
        <v>110</v>
      </c>
      <c r="G27" s="15" t="n">
        <v>120000</v>
      </c>
      <c r="H27" s="16"/>
      <c r="I27" s="16"/>
      <c r="J27" s="15"/>
    </row>
    <row r="28" customFormat="false" ht="15" hidden="false" customHeight="false" outlineLevel="0" collapsed="false">
      <c r="A28" s="13" t="n">
        <v>46295</v>
      </c>
      <c r="B28" s="11" t="s">
        <v>111</v>
      </c>
      <c r="C28" s="11"/>
      <c r="D28" s="11" t="s">
        <v>112</v>
      </c>
      <c r="E28" s="11" t="s">
        <v>113</v>
      </c>
      <c r="F28" s="11" t="s">
        <v>114</v>
      </c>
      <c r="G28" s="15" t="n">
        <v>20000</v>
      </c>
      <c r="H28" s="16"/>
      <c r="I28" s="16"/>
      <c r="J28" s="15"/>
    </row>
    <row r="29" customFormat="false" ht="15" hidden="false" customHeight="false" outlineLevel="0" collapsed="false">
      <c r="A29" s="13" t="n">
        <v>46295</v>
      </c>
      <c r="B29" s="11" t="s">
        <v>115</v>
      </c>
      <c r="C29" s="11"/>
      <c r="D29" s="11" t="s">
        <v>116</v>
      </c>
      <c r="E29" s="11" t="s">
        <v>113</v>
      </c>
      <c r="F29" s="11" t="s">
        <v>114</v>
      </c>
      <c r="G29" s="15" t="n">
        <v>40000</v>
      </c>
      <c r="H29" s="16"/>
      <c r="I29" s="16"/>
      <c r="J29" s="15"/>
    </row>
    <row r="30" customFormat="false" ht="15" hidden="false" customHeight="false" outlineLevel="0" collapsed="false">
      <c r="A30" s="13" t="n">
        <v>46295</v>
      </c>
      <c r="B30" s="11" t="s">
        <v>117</v>
      </c>
      <c r="C30" s="11"/>
      <c r="D30" s="11" t="s">
        <v>118</v>
      </c>
      <c r="E30" s="11" t="s">
        <v>113</v>
      </c>
      <c r="F30" s="11" t="s">
        <v>119</v>
      </c>
      <c r="G30" s="15" t="n">
        <v>8000</v>
      </c>
      <c r="H30" s="16"/>
      <c r="I30" s="16"/>
      <c r="J30" s="15"/>
    </row>
    <row r="31" customFormat="false" ht="15" hidden="false" customHeight="false" outlineLevel="0" collapsed="false">
      <c r="A31" s="13" t="n">
        <v>46295</v>
      </c>
      <c r="B31" s="11" t="s">
        <v>120</v>
      </c>
      <c r="C31" s="11"/>
      <c r="D31" s="11" t="s">
        <v>121</v>
      </c>
      <c r="E31" s="11" t="s">
        <v>94</v>
      </c>
      <c r="F31" s="11" t="s">
        <v>122</v>
      </c>
      <c r="G31" s="15" t="n">
        <v>2500</v>
      </c>
      <c r="H31" s="16"/>
      <c r="I31" s="16"/>
      <c r="J31" s="15"/>
    </row>
    <row r="32" customFormat="false" ht="15" hidden="false" customHeight="false" outlineLevel="0" collapsed="false">
      <c r="A32" s="13" t="n">
        <v>46295</v>
      </c>
      <c r="B32" s="11" t="s">
        <v>123</v>
      </c>
      <c r="C32" s="11"/>
      <c r="D32" s="11" t="s">
        <v>124</v>
      </c>
      <c r="E32" s="11" t="s">
        <v>94</v>
      </c>
      <c r="F32" s="11" t="s">
        <v>122</v>
      </c>
      <c r="G32" s="15" t="n">
        <v>150000</v>
      </c>
      <c r="H32" s="16"/>
      <c r="I32" s="16"/>
      <c r="J32" s="15"/>
    </row>
    <row r="33" customFormat="false" ht="15" hidden="false" customHeight="false" outlineLevel="0" collapsed="false">
      <c r="A33" s="13" t="n">
        <v>46295</v>
      </c>
      <c r="B33" s="11" t="s">
        <v>125</v>
      </c>
      <c r="C33" s="11"/>
      <c r="D33" s="11" t="s">
        <v>126</v>
      </c>
      <c r="E33" s="11" t="s">
        <v>127</v>
      </c>
      <c r="F33" s="11" t="s">
        <v>128</v>
      </c>
      <c r="G33" s="15" t="n">
        <v>60000</v>
      </c>
      <c r="H33" s="16"/>
      <c r="I33" s="16"/>
      <c r="J33" s="15"/>
    </row>
    <row r="34" customFormat="false" ht="15" hidden="false" customHeight="false" outlineLevel="0" collapsed="false">
      <c r="A34" s="13" t="n">
        <v>46295</v>
      </c>
      <c r="B34" s="11" t="s">
        <v>132</v>
      </c>
      <c r="C34" s="11"/>
      <c r="D34" s="11" t="s">
        <v>133</v>
      </c>
      <c r="E34" s="11" t="s">
        <v>94</v>
      </c>
      <c r="F34" s="11" t="s">
        <v>122</v>
      </c>
      <c r="G34" s="15" t="n">
        <v>1500</v>
      </c>
      <c r="H34" s="16"/>
      <c r="I34" s="16"/>
      <c r="J34" s="15"/>
    </row>
    <row r="35" customFormat="false" ht="15" hidden="false" customHeight="false" outlineLevel="0" collapsed="false">
      <c r="A35" s="13" t="n">
        <v>46295</v>
      </c>
      <c r="B35" s="11" t="s">
        <v>134</v>
      </c>
      <c r="C35" s="11"/>
      <c r="D35" s="11" t="s">
        <v>135</v>
      </c>
      <c r="E35" s="11" t="s">
        <v>86</v>
      </c>
      <c r="F35" s="11" t="s">
        <v>87</v>
      </c>
      <c r="G35" s="15" t="n">
        <v>40000</v>
      </c>
      <c r="H35" s="16"/>
      <c r="I35" s="16"/>
      <c r="J35" s="15"/>
    </row>
    <row r="36" customFormat="false" ht="15" hidden="false" customHeight="false" outlineLevel="0" collapsed="false">
      <c r="A36" s="13" t="n">
        <v>46295</v>
      </c>
      <c r="B36" s="11" t="s">
        <v>136</v>
      </c>
      <c r="C36" s="11"/>
      <c r="D36" s="11" t="s">
        <v>137</v>
      </c>
      <c r="E36" s="11" t="s">
        <v>94</v>
      </c>
      <c r="F36" s="11" t="s">
        <v>138</v>
      </c>
      <c r="G36" s="15" t="n">
        <v>100000</v>
      </c>
      <c r="H36" s="16"/>
      <c r="I36" s="16"/>
      <c r="J36" s="15"/>
    </row>
    <row r="38" customFormat="false" ht="15" hidden="false" customHeight="false" outlineLevel="0" collapsed="false">
      <c r="A38" s="17" t="s">
        <v>139</v>
      </c>
    </row>
    <row r="39" customFormat="false" ht="15" hidden="false" customHeight="false" outlineLevel="0" collapsed="false">
      <c r="A39" s="17" t="s">
        <v>140</v>
      </c>
    </row>
  </sheetData>
  <dataValidations count="1">
    <dataValidation allowBlank="true" errorStyle="stop" operator="between" showDropDown="false" showErrorMessage="false" showInputMessage="false" sqref="E2:E1000" type="list">
      <formula1>"Financials,Industrial,Holding Firms,Property,Services,Mining and Oil,Cash"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30" hidden="false" customHeight="true" outlineLevel="0" collapsed="false">
      <c r="A1" s="8" t="s">
        <v>141</v>
      </c>
      <c r="B1" s="8" t="s">
        <v>76</v>
      </c>
      <c r="C1" s="8" t="s">
        <v>142</v>
      </c>
      <c r="D1" s="9" t="s">
        <v>80</v>
      </c>
      <c r="E1" s="9" t="s">
        <v>143</v>
      </c>
      <c r="F1" s="9" t="s">
        <v>144</v>
      </c>
      <c r="G1" s="9" t="s">
        <v>145</v>
      </c>
      <c r="H1" s="9" t="s">
        <v>146</v>
      </c>
    </row>
    <row r="2" customFormat="false" ht="15" hidden="false" customHeight="false" outlineLevel="0" collapsed="false">
      <c r="A2" s="13" t="n">
        <v>45945</v>
      </c>
      <c r="B2" s="11" t="s">
        <v>129</v>
      </c>
      <c r="C2" s="11" t="s">
        <v>147</v>
      </c>
      <c r="D2" s="15"/>
      <c r="E2" s="16"/>
      <c r="F2" s="16"/>
      <c r="G2" s="16" t="n">
        <v>125000</v>
      </c>
      <c r="H2" s="11" t="s">
        <v>148</v>
      </c>
    </row>
    <row r="3" customFormat="false" ht="15" hidden="false" customHeight="false" outlineLevel="0" collapsed="false">
      <c r="A3" s="13" t="n">
        <v>45975</v>
      </c>
      <c r="B3" s="11" t="s">
        <v>132</v>
      </c>
      <c r="C3" s="11" t="s">
        <v>149</v>
      </c>
      <c r="D3" s="15" t="n">
        <v>1500</v>
      </c>
      <c r="E3" s="16"/>
      <c r="F3" s="16" t="n">
        <v>6750</v>
      </c>
      <c r="G3" s="16"/>
      <c r="H3" s="11" t="s">
        <v>150</v>
      </c>
    </row>
    <row r="4" customFormat="false" ht="15" hidden="false" customHeight="false" outlineLevel="0" collapsed="false">
      <c r="A4" s="13" t="n">
        <v>46001</v>
      </c>
      <c r="B4" s="11" t="s">
        <v>123</v>
      </c>
      <c r="C4" s="11" t="s">
        <v>151</v>
      </c>
      <c r="D4" s="15" t="n">
        <v>150000</v>
      </c>
      <c r="E4" s="16"/>
      <c r="F4" s="16" t="n">
        <v>5600</v>
      </c>
      <c r="G4" s="16"/>
      <c r="H4" s="11" t="s">
        <v>152</v>
      </c>
    </row>
    <row r="5" customFormat="false" ht="15" hidden="false" customHeight="false" outlineLevel="0" collapsed="false">
      <c r="A5" s="13" t="n">
        <v>46037</v>
      </c>
      <c r="B5" s="11" t="s">
        <v>129</v>
      </c>
      <c r="C5" s="11" t="s">
        <v>147</v>
      </c>
      <c r="D5" s="15"/>
      <c r="E5" s="16"/>
      <c r="F5" s="16"/>
      <c r="G5" s="16" t="n">
        <v>125000</v>
      </c>
      <c r="H5" s="11" t="s">
        <v>153</v>
      </c>
    </row>
    <row r="6" customFormat="false" ht="15" hidden="false" customHeight="false" outlineLevel="0" collapsed="false">
      <c r="A6" s="13" t="n">
        <v>46042</v>
      </c>
      <c r="B6" s="11" t="s">
        <v>84</v>
      </c>
      <c r="C6" s="11" t="s">
        <v>149</v>
      </c>
      <c r="D6" s="15" t="n">
        <v>15000</v>
      </c>
      <c r="E6" s="16"/>
      <c r="F6" s="16" t="n">
        <v>5250</v>
      </c>
      <c r="G6" s="16"/>
      <c r="H6" s="11" t="s">
        <v>154</v>
      </c>
    </row>
    <row r="7" customFormat="false" ht="15" hidden="false" customHeight="false" outlineLevel="0" collapsed="false">
      <c r="A7" s="13" t="n">
        <v>46070</v>
      </c>
      <c r="B7" s="11" t="s">
        <v>101</v>
      </c>
      <c r="C7" s="11" t="s">
        <v>151</v>
      </c>
      <c r="D7" s="15" t="n">
        <v>100000</v>
      </c>
      <c r="E7" s="16"/>
      <c r="F7" s="16" t="n">
        <v>6900</v>
      </c>
      <c r="G7" s="16"/>
      <c r="H7" s="11" t="s">
        <v>155</v>
      </c>
    </row>
    <row r="8" customFormat="false" ht="15" hidden="false" customHeight="false" outlineLevel="0" collapsed="false">
      <c r="A8" s="13" t="n">
        <v>46090</v>
      </c>
      <c r="B8" s="11" t="s">
        <v>134</v>
      </c>
      <c r="C8" s="11" t="s">
        <v>149</v>
      </c>
      <c r="D8" s="15" t="n">
        <v>40000</v>
      </c>
      <c r="E8" s="16"/>
      <c r="F8" s="16" t="n">
        <v>6500</v>
      </c>
      <c r="G8" s="16"/>
      <c r="H8" s="11" t="s">
        <v>150</v>
      </c>
    </row>
    <row r="9" customFormat="false" ht="15" hidden="false" customHeight="false" outlineLevel="0" collapsed="false">
      <c r="A9" s="13" t="n">
        <v>46127</v>
      </c>
      <c r="B9" s="11" t="s">
        <v>129</v>
      </c>
      <c r="C9" s="11" t="s">
        <v>147</v>
      </c>
      <c r="D9" s="15"/>
      <c r="E9" s="16"/>
      <c r="F9" s="16"/>
      <c r="G9" s="16" t="n">
        <v>125000</v>
      </c>
      <c r="H9" s="11" t="s">
        <v>156</v>
      </c>
    </row>
    <row r="10" customFormat="false" ht="15" hidden="false" customHeight="false" outlineLevel="0" collapsed="false">
      <c r="A10" s="13" t="n">
        <v>46162</v>
      </c>
      <c r="B10" s="11" t="s">
        <v>136</v>
      </c>
      <c r="C10" s="11" t="s">
        <v>149</v>
      </c>
      <c r="D10" s="15" t="n">
        <v>100000</v>
      </c>
      <c r="E10" s="16"/>
      <c r="F10" s="16" t="n">
        <v>8750</v>
      </c>
      <c r="G10" s="16"/>
      <c r="H10" s="11" t="s">
        <v>150</v>
      </c>
    </row>
    <row r="11" customFormat="false" ht="15" hidden="false" customHeight="false" outlineLevel="0" collapsed="false">
      <c r="A11" s="13" t="n">
        <v>46167</v>
      </c>
      <c r="B11" s="11" t="s">
        <v>103</v>
      </c>
      <c r="C11" s="11" t="s">
        <v>151</v>
      </c>
      <c r="D11" s="15" t="n">
        <v>100000</v>
      </c>
      <c r="E11" s="16"/>
      <c r="F11" s="16" t="n">
        <v>6200</v>
      </c>
      <c r="G11" s="16"/>
      <c r="H11" s="11" t="s">
        <v>157</v>
      </c>
    </row>
    <row r="12" customFormat="false" ht="15" hidden="false" customHeight="false" outlineLevel="0" collapsed="false">
      <c r="A12" s="13" t="n">
        <v>46203</v>
      </c>
      <c r="B12" s="11" t="s">
        <v>129</v>
      </c>
      <c r="C12" s="11" t="s">
        <v>158</v>
      </c>
      <c r="D12" s="15"/>
      <c r="E12" s="16"/>
      <c r="F12" s="16"/>
      <c r="G12" s="16" t="n">
        <v>18500</v>
      </c>
      <c r="H12" s="11" t="s">
        <v>159</v>
      </c>
    </row>
    <row r="13" customFormat="false" ht="15" hidden="false" customHeight="false" outlineLevel="0" collapsed="false">
      <c r="A13" s="13" t="n">
        <v>46218</v>
      </c>
      <c r="B13" s="11" t="s">
        <v>129</v>
      </c>
      <c r="C13" s="11" t="s">
        <v>147</v>
      </c>
      <c r="D13" s="15"/>
      <c r="E13" s="16"/>
      <c r="F13" s="16"/>
      <c r="G13" s="16" t="n">
        <v>125000</v>
      </c>
      <c r="H13" s="11" t="s">
        <v>160</v>
      </c>
    </row>
    <row r="14" customFormat="false" ht="15" hidden="false" customHeight="false" outlineLevel="0" collapsed="false">
      <c r="A14" s="13" t="n">
        <v>46246</v>
      </c>
      <c r="B14" s="11" t="s">
        <v>92</v>
      </c>
      <c r="C14" s="11" t="s">
        <v>149</v>
      </c>
      <c r="D14" s="15" t="n">
        <v>3000</v>
      </c>
      <c r="E14" s="16"/>
      <c r="F14" s="16" t="n">
        <v>3500</v>
      </c>
      <c r="G14" s="16"/>
      <c r="H14" s="11" t="s">
        <v>161</v>
      </c>
    </row>
    <row r="16" customFormat="false" ht="15" hidden="false" customHeight="false" outlineLevel="0" collapsed="false">
      <c r="A16" s="17" t="s">
        <v>162</v>
      </c>
    </row>
    <row r="17" customFormat="false" ht="15" hidden="false" customHeight="false" outlineLevel="0" collapsed="false">
      <c r="A17" s="17" t="s">
        <v>163</v>
      </c>
    </row>
  </sheetData>
  <dataValidations count="1">
    <dataValidation allowBlank="false" errorStyle="stop" operator="between" showDropDown="false" showErrorMessage="false" showInputMessage="false" sqref="C2:C1017" type="list">
      <formula1>"BUY,SELL,DIVIDEND,FEE,INTEREST,STOCK_DIVIDEND"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30"/>
  </cols>
  <sheetData>
    <row r="1" customFormat="false" ht="30" hidden="false" customHeight="true" outlineLevel="0" collapsed="false">
      <c r="A1" s="8" t="s">
        <v>164</v>
      </c>
      <c r="B1" s="8" t="s">
        <v>165</v>
      </c>
      <c r="C1" s="9" t="s">
        <v>142</v>
      </c>
      <c r="D1" s="9" t="s">
        <v>146</v>
      </c>
    </row>
    <row r="2" customFormat="false" ht="15" hidden="false" customHeight="false" outlineLevel="0" collapsed="false">
      <c r="A2" s="13" t="n">
        <v>46027</v>
      </c>
      <c r="B2" s="16" t="n">
        <v>5000000</v>
      </c>
      <c r="C2" s="11" t="s">
        <v>166</v>
      </c>
      <c r="D2" s="11" t="s">
        <v>167</v>
      </c>
    </row>
    <row r="3" customFormat="false" ht="15" hidden="false" customHeight="false" outlineLevel="0" collapsed="false">
      <c r="A3" s="13" t="n">
        <v>46174</v>
      </c>
      <c r="B3" s="16" t="n">
        <v>2000000</v>
      </c>
      <c r="C3" s="11" t="s">
        <v>168</v>
      </c>
      <c r="D3" s="11" t="s">
        <v>169</v>
      </c>
    </row>
  </sheetData>
  <dataValidations count="1">
    <dataValidation allowBlank="false" errorStyle="stop" operator="between" showDropDown="false" showErrorMessage="false" showInputMessage="false" sqref="C2:C1000" type="list">
      <formula1>"Contribution,Withdrawal"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50"/>
  </cols>
  <sheetData>
    <row r="1" customFormat="false" ht="30" hidden="false" customHeight="true" outlineLevel="0" collapsed="false">
      <c r="A1" s="8" t="s">
        <v>76</v>
      </c>
      <c r="B1" s="9" t="s">
        <v>78</v>
      </c>
      <c r="C1" s="8" t="s">
        <v>73</v>
      </c>
      <c r="D1" s="8" t="s">
        <v>170</v>
      </c>
      <c r="E1" s="9" t="s">
        <v>171</v>
      </c>
    </row>
    <row r="2" customFormat="false" ht="15" hidden="false" customHeight="false" outlineLevel="0" collapsed="false">
      <c r="A2" s="11" t="s">
        <v>92</v>
      </c>
      <c r="B2" s="11" t="s">
        <v>93</v>
      </c>
      <c r="C2" s="11" t="s">
        <v>94</v>
      </c>
      <c r="D2" s="18" t="n">
        <v>14.36</v>
      </c>
      <c r="E2" s="11"/>
    </row>
    <row r="3" customFormat="false" ht="15" hidden="false" customHeight="false" outlineLevel="0" collapsed="false">
      <c r="A3" s="11" t="s">
        <v>84</v>
      </c>
      <c r="B3" s="11" t="s">
        <v>85</v>
      </c>
      <c r="C3" s="11" t="s">
        <v>86</v>
      </c>
      <c r="D3" s="18" t="n">
        <v>9.74</v>
      </c>
      <c r="E3" s="11"/>
    </row>
    <row r="4" customFormat="false" ht="15" hidden="false" customHeight="false" outlineLevel="0" collapsed="false">
      <c r="A4" s="11" t="s">
        <v>96</v>
      </c>
      <c r="B4" s="11" t="s">
        <v>97</v>
      </c>
      <c r="C4" s="11" t="s">
        <v>98</v>
      </c>
      <c r="D4" s="18" t="n">
        <v>8.21</v>
      </c>
      <c r="E4" s="11"/>
    </row>
    <row r="5" customFormat="false" ht="15" hidden="false" customHeight="false" outlineLevel="0" collapsed="false">
      <c r="A5" s="11" t="s">
        <v>88</v>
      </c>
      <c r="B5" s="11" t="s">
        <v>89</v>
      </c>
      <c r="C5" s="11" t="s">
        <v>86</v>
      </c>
      <c r="D5" s="18" t="n">
        <v>7.69</v>
      </c>
      <c r="E5" s="11"/>
    </row>
    <row r="6" customFormat="false" ht="15" hidden="false" customHeight="false" outlineLevel="0" collapsed="false">
      <c r="A6" s="11" t="s">
        <v>106</v>
      </c>
      <c r="B6" s="11" t="s">
        <v>107</v>
      </c>
      <c r="C6" s="11" t="s">
        <v>105</v>
      </c>
      <c r="D6" s="18" t="n">
        <v>6.15</v>
      </c>
      <c r="E6" s="11"/>
    </row>
    <row r="7" customFormat="false" ht="15" hidden="false" customHeight="false" outlineLevel="0" collapsed="false">
      <c r="A7" s="11" t="s">
        <v>90</v>
      </c>
      <c r="B7" s="11" t="s">
        <v>91</v>
      </c>
      <c r="C7" s="11" t="s">
        <v>86</v>
      </c>
      <c r="D7" s="18" t="n">
        <v>5.13</v>
      </c>
      <c r="E7" s="11"/>
    </row>
    <row r="8" customFormat="false" ht="15" hidden="false" customHeight="false" outlineLevel="0" collapsed="false">
      <c r="A8" s="11" t="s">
        <v>103</v>
      </c>
      <c r="B8" s="11" t="s">
        <v>104</v>
      </c>
      <c r="C8" s="11" t="s">
        <v>105</v>
      </c>
      <c r="D8" s="18" t="n">
        <v>4.62</v>
      </c>
      <c r="E8" s="11"/>
    </row>
    <row r="9" customFormat="false" ht="15" hidden="false" customHeight="false" outlineLevel="0" collapsed="false">
      <c r="A9" s="11" t="s">
        <v>99</v>
      </c>
      <c r="B9" s="11" t="s">
        <v>100</v>
      </c>
      <c r="C9" s="11" t="s">
        <v>98</v>
      </c>
      <c r="D9" s="18" t="n">
        <v>4.62</v>
      </c>
      <c r="E9" s="11"/>
    </row>
    <row r="10" customFormat="false" ht="15" hidden="false" customHeight="false" outlineLevel="0" collapsed="false">
      <c r="A10" s="11" t="s">
        <v>117</v>
      </c>
      <c r="B10" s="11" t="s">
        <v>118</v>
      </c>
      <c r="C10" s="11" t="s">
        <v>113</v>
      </c>
      <c r="D10" s="18" t="n">
        <v>3.59</v>
      </c>
      <c r="E10" s="11"/>
    </row>
    <row r="11" customFormat="false" ht="15" hidden="false" customHeight="false" outlineLevel="0" collapsed="false">
      <c r="A11" s="11" t="s">
        <v>120</v>
      </c>
      <c r="B11" s="11" t="s">
        <v>121</v>
      </c>
      <c r="C11" s="11" t="s">
        <v>94</v>
      </c>
      <c r="D11" s="18" t="n">
        <v>3.08</v>
      </c>
      <c r="E11" s="11"/>
    </row>
    <row r="12" customFormat="false" ht="15" hidden="false" customHeight="false" outlineLevel="0" collapsed="false">
      <c r="A12" s="11" t="s">
        <v>111</v>
      </c>
      <c r="B12" s="11" t="s">
        <v>112</v>
      </c>
      <c r="C12" s="11" t="s">
        <v>113</v>
      </c>
      <c r="D12" s="18" t="n">
        <v>3.08</v>
      </c>
      <c r="E12" s="11"/>
    </row>
    <row r="13" customFormat="false" ht="15" hidden="false" customHeight="false" outlineLevel="0" collapsed="false">
      <c r="A13" s="11" t="s">
        <v>134</v>
      </c>
      <c r="B13" s="11" t="s">
        <v>135</v>
      </c>
      <c r="C13" s="11" t="s">
        <v>86</v>
      </c>
      <c r="D13" s="18" t="n">
        <v>2.56</v>
      </c>
      <c r="E13" s="11"/>
    </row>
    <row r="14" customFormat="false" ht="15" hidden="false" customHeight="false" outlineLevel="0" collapsed="false">
      <c r="A14" s="11" t="s">
        <v>115</v>
      </c>
      <c r="B14" s="11" t="s">
        <v>116</v>
      </c>
      <c r="C14" s="11" t="s">
        <v>113</v>
      </c>
      <c r="D14" s="18" t="n">
        <v>2.05</v>
      </c>
      <c r="E14" s="11"/>
    </row>
    <row r="15" customFormat="false" ht="15" hidden="false" customHeight="false" outlineLevel="0" collapsed="false">
      <c r="A15" s="11" t="s">
        <v>132</v>
      </c>
      <c r="B15" s="11" t="s">
        <v>133</v>
      </c>
      <c r="C15" s="11" t="s">
        <v>94</v>
      </c>
      <c r="D15" s="18" t="n">
        <v>2.05</v>
      </c>
      <c r="E15" s="11"/>
    </row>
    <row r="16" customFormat="false" ht="15" hidden="false" customHeight="false" outlineLevel="0" collapsed="false">
      <c r="A16" s="11" t="s">
        <v>172</v>
      </c>
      <c r="B16" s="11" t="s">
        <v>173</v>
      </c>
      <c r="C16" s="11" t="s">
        <v>113</v>
      </c>
      <c r="D16" s="18" t="n">
        <v>2.05</v>
      </c>
      <c r="E16" s="11"/>
    </row>
    <row r="17" customFormat="false" ht="15" hidden="false" customHeight="false" outlineLevel="0" collapsed="false">
      <c r="A17" s="11" t="s">
        <v>174</v>
      </c>
      <c r="B17" s="11" t="s">
        <v>175</v>
      </c>
      <c r="C17" s="11" t="s">
        <v>113</v>
      </c>
      <c r="D17" s="18" t="n">
        <v>2.05</v>
      </c>
      <c r="E17" s="11"/>
    </row>
    <row r="18" customFormat="false" ht="15" hidden="false" customHeight="false" outlineLevel="0" collapsed="false">
      <c r="A18" s="11" t="s">
        <v>136</v>
      </c>
      <c r="B18" s="11" t="s">
        <v>137</v>
      </c>
      <c r="C18" s="11" t="s">
        <v>94</v>
      </c>
      <c r="D18" s="18" t="n">
        <v>2.05</v>
      </c>
      <c r="E18" s="11"/>
    </row>
    <row r="19" customFormat="false" ht="15" hidden="false" customHeight="false" outlineLevel="0" collapsed="false">
      <c r="A19" s="11" t="s">
        <v>176</v>
      </c>
      <c r="B19" s="11" t="s">
        <v>177</v>
      </c>
      <c r="C19" s="11" t="s">
        <v>98</v>
      </c>
      <c r="D19" s="18" t="n">
        <v>1.54</v>
      </c>
      <c r="E19" s="11"/>
    </row>
    <row r="20" customFormat="false" ht="15" hidden="false" customHeight="false" outlineLevel="0" collapsed="false">
      <c r="A20" s="11" t="s">
        <v>101</v>
      </c>
      <c r="B20" s="11" t="s">
        <v>102</v>
      </c>
      <c r="C20" s="11" t="s">
        <v>98</v>
      </c>
      <c r="D20" s="18" t="n">
        <v>1.54</v>
      </c>
      <c r="E20" s="11"/>
    </row>
    <row r="21" customFormat="false" ht="15" hidden="false" customHeight="false" outlineLevel="0" collapsed="false">
      <c r="A21" s="11" t="s">
        <v>178</v>
      </c>
      <c r="B21" s="11" t="s">
        <v>179</v>
      </c>
      <c r="C21" s="11" t="s">
        <v>113</v>
      </c>
      <c r="D21" s="18" t="n">
        <v>1.54</v>
      </c>
      <c r="E21" s="11"/>
    </row>
    <row r="22" customFormat="false" ht="15" hidden="false" customHeight="false" outlineLevel="0" collapsed="false">
      <c r="A22" s="11" t="s">
        <v>180</v>
      </c>
      <c r="B22" s="11" t="s">
        <v>181</v>
      </c>
      <c r="C22" s="11" t="s">
        <v>98</v>
      </c>
      <c r="D22" s="18" t="n">
        <v>1.54</v>
      </c>
      <c r="E22" s="11"/>
    </row>
    <row r="23" customFormat="false" ht="15" hidden="false" customHeight="false" outlineLevel="0" collapsed="false">
      <c r="A23" s="11" t="s">
        <v>182</v>
      </c>
      <c r="B23" s="11" t="s">
        <v>183</v>
      </c>
      <c r="C23" s="11" t="s">
        <v>113</v>
      </c>
      <c r="D23" s="18" t="n">
        <v>1.54</v>
      </c>
      <c r="E23" s="11"/>
    </row>
    <row r="24" customFormat="false" ht="15" hidden="false" customHeight="false" outlineLevel="0" collapsed="false">
      <c r="A24" s="11" t="s">
        <v>125</v>
      </c>
      <c r="B24" s="11" t="s">
        <v>126</v>
      </c>
      <c r="C24" s="11" t="s">
        <v>127</v>
      </c>
      <c r="D24" s="18" t="n">
        <v>1.54</v>
      </c>
      <c r="E24" s="11"/>
    </row>
    <row r="25" customFormat="false" ht="15" hidden="false" customHeight="false" outlineLevel="0" collapsed="false">
      <c r="A25" s="11" t="s">
        <v>108</v>
      </c>
      <c r="B25" s="11" t="s">
        <v>109</v>
      </c>
      <c r="C25" s="11" t="s">
        <v>105</v>
      </c>
      <c r="D25" s="18" t="n">
        <v>1.54</v>
      </c>
      <c r="E25" s="11"/>
    </row>
    <row r="26" customFormat="false" ht="15" hidden="false" customHeight="false" outlineLevel="0" collapsed="false">
      <c r="A26" s="11" t="s">
        <v>184</v>
      </c>
      <c r="B26" s="11" t="s">
        <v>185</v>
      </c>
      <c r="C26" s="11" t="s">
        <v>98</v>
      </c>
      <c r="D26" s="18" t="n">
        <v>1.03</v>
      </c>
      <c r="E26" s="11"/>
    </row>
    <row r="27" customFormat="false" ht="15" hidden="false" customHeight="false" outlineLevel="0" collapsed="false">
      <c r="A27" s="11" t="s">
        <v>186</v>
      </c>
      <c r="B27" s="11" t="s">
        <v>187</v>
      </c>
      <c r="C27" s="11" t="s">
        <v>113</v>
      </c>
      <c r="D27" s="18" t="n">
        <v>1.03</v>
      </c>
      <c r="E27" s="11"/>
    </row>
    <row r="28" customFormat="false" ht="15" hidden="false" customHeight="false" outlineLevel="0" collapsed="false">
      <c r="A28" s="11" t="s">
        <v>188</v>
      </c>
      <c r="B28" s="11" t="s">
        <v>189</v>
      </c>
      <c r="C28" s="11" t="s">
        <v>98</v>
      </c>
      <c r="D28" s="18" t="n">
        <v>1.03</v>
      </c>
      <c r="E28" s="11"/>
    </row>
    <row r="29" customFormat="false" ht="15" hidden="false" customHeight="false" outlineLevel="0" collapsed="false">
      <c r="A29" s="11" t="s">
        <v>190</v>
      </c>
      <c r="B29" s="11" t="s">
        <v>191</v>
      </c>
      <c r="C29" s="11" t="s">
        <v>94</v>
      </c>
      <c r="D29" s="18" t="n">
        <v>1.03</v>
      </c>
      <c r="E29" s="11"/>
    </row>
    <row r="30" customFormat="false" ht="15" hidden="false" customHeight="false" outlineLevel="0" collapsed="false">
      <c r="A30" s="11" t="s">
        <v>192</v>
      </c>
      <c r="B30" s="11" t="s">
        <v>193</v>
      </c>
      <c r="C30" s="11" t="s">
        <v>98</v>
      </c>
      <c r="D30" s="18" t="n">
        <v>1.03</v>
      </c>
      <c r="E30" s="11" t="s">
        <v>194</v>
      </c>
    </row>
    <row r="31" customFormat="false" ht="15" hidden="false" customHeight="false" outlineLevel="0" collapsed="false">
      <c r="A31" s="11" t="s">
        <v>123</v>
      </c>
      <c r="B31" s="11" t="s">
        <v>195</v>
      </c>
      <c r="C31" s="11" t="s">
        <v>94</v>
      </c>
      <c r="D31" s="18" t="n">
        <v>1.03</v>
      </c>
      <c r="E31" s="11" t="s">
        <v>196</v>
      </c>
    </row>
    <row r="32" customFormat="false" ht="15" hidden="false" customHeight="false" outlineLevel="0" collapsed="false">
      <c r="C32" s="19" t="s">
        <v>197</v>
      </c>
      <c r="D32" s="20" t="n">
        <f aca="false">SUM(D2:D31)</f>
        <v>100.04</v>
      </c>
    </row>
    <row r="34" customFormat="false" ht="15" hidden="false" customHeight="false" outlineLevel="0" collapsed="false">
      <c r="A34" s="17" t="s">
        <v>198</v>
      </c>
    </row>
    <row r="35" customFormat="false" ht="15" hidden="false" customHeight="false" outlineLevel="0" collapsed="false">
      <c r="A35" s="17" t="s">
        <v>199</v>
      </c>
    </row>
  </sheetData>
  <dataValidations count="1">
    <dataValidation allowBlank="false" errorStyle="stop" operator="between" showDropDown="false" showErrorMessage="false" showInputMessage="false" sqref="C2:C500" type="list">
      <formula1>"Financials,Industrial,Holding Firms,Property,Services,Mining and Oil"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3"/>
  </cols>
  <sheetData>
    <row r="1" customFormat="false" ht="30" hidden="false" customHeight="true" outlineLevel="0" collapsed="false">
      <c r="A1" s="8" t="s">
        <v>200</v>
      </c>
      <c r="B1" s="8" t="s">
        <v>142</v>
      </c>
      <c r="C1" s="9" t="s">
        <v>201</v>
      </c>
      <c r="D1" s="9" t="s">
        <v>202</v>
      </c>
      <c r="E1" s="9" t="s">
        <v>203</v>
      </c>
      <c r="F1" s="9" t="s">
        <v>204</v>
      </c>
    </row>
    <row r="2" customFormat="false" ht="15" hidden="false" customHeight="false" outlineLevel="0" collapsed="false">
      <c r="A2" s="11" t="s">
        <v>205</v>
      </c>
      <c r="B2" s="11" t="s">
        <v>206</v>
      </c>
      <c r="C2" s="11"/>
      <c r="D2" s="21"/>
      <c r="E2" s="13" t="n">
        <v>43880</v>
      </c>
      <c r="F2" s="13" t="n">
        <v>43909</v>
      </c>
    </row>
    <row r="3" customFormat="false" ht="15" hidden="false" customHeight="false" outlineLevel="0" collapsed="false">
      <c r="A3" s="11" t="s">
        <v>207</v>
      </c>
      <c r="B3" s="11" t="s">
        <v>206</v>
      </c>
      <c r="C3" s="11"/>
      <c r="D3" s="21"/>
      <c r="E3" s="13" t="n">
        <v>39692</v>
      </c>
      <c r="F3" s="13" t="n">
        <v>39749</v>
      </c>
    </row>
    <row r="4" customFormat="false" ht="15" hidden="false" customHeight="false" outlineLevel="0" collapsed="false">
      <c r="A4" s="11" t="s">
        <v>208</v>
      </c>
      <c r="B4" s="11" t="s">
        <v>206</v>
      </c>
      <c r="C4" s="11"/>
      <c r="D4" s="21"/>
      <c r="E4" s="13" t="n">
        <v>44804</v>
      </c>
      <c r="F4" s="13" t="n">
        <v>44841</v>
      </c>
    </row>
    <row r="5" customFormat="false" ht="15" hidden="false" customHeight="false" outlineLevel="0" collapsed="false">
      <c r="A5" s="11" t="s">
        <v>209</v>
      </c>
      <c r="B5" s="11" t="s">
        <v>210</v>
      </c>
      <c r="C5" s="11" t="s">
        <v>211</v>
      </c>
      <c r="D5" s="21" t="n">
        <v>-20</v>
      </c>
      <c r="E5" s="13"/>
      <c r="F5" s="13"/>
    </row>
    <row r="6" customFormat="false" ht="15" hidden="false" customHeight="false" outlineLevel="0" collapsed="false">
      <c r="A6" s="11" t="s">
        <v>212</v>
      </c>
      <c r="B6" s="11" t="s">
        <v>210</v>
      </c>
      <c r="C6" s="11" t="s">
        <v>86</v>
      </c>
      <c r="D6" s="21" t="n">
        <v>-15</v>
      </c>
      <c r="E6" s="13"/>
      <c r="F6" s="13"/>
    </row>
    <row r="7" customFormat="false" ht="15" hidden="false" customHeight="false" outlineLevel="0" collapsed="false">
      <c r="A7" s="11" t="s">
        <v>213</v>
      </c>
      <c r="B7" s="11" t="s">
        <v>210</v>
      </c>
      <c r="C7" s="11" t="s">
        <v>105</v>
      </c>
      <c r="D7" s="21" t="n">
        <v>-25</v>
      </c>
      <c r="E7" s="13"/>
      <c r="F7" s="13"/>
    </row>
    <row r="8" customFormat="false" ht="15" hidden="false" customHeight="false" outlineLevel="0" collapsed="false">
      <c r="A8" s="11" t="s">
        <v>214</v>
      </c>
      <c r="B8" s="11" t="s">
        <v>210</v>
      </c>
      <c r="C8" s="11" t="s">
        <v>92</v>
      </c>
      <c r="D8" s="21" t="n">
        <v>-30</v>
      </c>
      <c r="E8" s="13"/>
      <c r="F8" s="13"/>
    </row>
    <row r="10" customFormat="false" ht="15" hidden="false" customHeight="false" outlineLevel="0" collapsed="false">
      <c r="A10" s="17" t="s">
        <v>215</v>
      </c>
    </row>
  </sheetData>
  <dataValidations count="1">
    <dataValidation allowBlank="false" errorStyle="stop" operator="between" showDropDown="false" showErrorMessage="false" showInputMessage="false" sqref="B2:B500" type="list">
      <formula1>"HISTORICAL,SHOCK"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8" t="s">
        <v>164</v>
      </c>
      <c r="B1" s="8" t="s">
        <v>76</v>
      </c>
      <c r="C1" s="8" t="s">
        <v>143</v>
      </c>
      <c r="D1" s="9" t="s">
        <v>216</v>
      </c>
    </row>
    <row r="3" customFormat="false" ht="15" hidden="false" customHeight="false" outlineLevel="0" collapsed="false">
      <c r="A3" s="17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2026-10-06T12:35:48Z</dcterms:created>
  <dc:creator>openpyxl</dc:creator>
  <dc:description/>
  <dc:language>en-US</dc:language>
  <cp:lastModifiedBy/>
  <dcterms:modified xsi:type="dcterms:W3CDTF">2026-10-06T12:35:48Z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